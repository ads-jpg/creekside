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rosoft-my.sharepoint.com/personal/uscheeler_microsoft_com/Documents/Global Partners Retail Media_GPRM_2025-26/Home &amp; Local/"/>
    </mc:Choice>
  </mc:AlternateContent>
  <xr:revisionPtr revIDLastSave="19" documentId="8_{4BE7D0E0-9433-47B2-88BC-AC9D6BD151E1}" xr6:coauthVersionLast="47" xr6:coauthVersionMax="47" xr10:uidLastSave="{4F75192E-7EDB-4205-85D8-E1724722966C}"/>
  <bookViews>
    <workbookView xWindow="-110" yWindow="-110" windowWidth="25180" windowHeight="16140" firstSheet="1" activeTab="1" xr2:uid="{790E3D48-C030-4E7F-901F-16AD46D08985}"/>
  </bookViews>
  <sheets>
    <sheet name="LendingTree Sample Media Plan " sheetId="1" state="hidden" r:id="rId1"/>
    <sheet name="Monarch Home - Media Plan" sheetId="6" r:id="rId2"/>
    <sheet name="Audience Targeting " sheetId="10" r:id="rId3"/>
    <sheet name="Geo Targeting" sheetId="13" r:id="rId4"/>
    <sheet name="Video - Ad Specs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6" l="1"/>
  <c r="M17" i="6"/>
  <c r="N16" i="1"/>
  <c r="O16" i="1"/>
  <c r="S16" i="1"/>
  <c r="U21" i="1"/>
  <c r="N15" i="1"/>
  <c r="O15" i="1"/>
  <c r="S15" i="1"/>
  <c r="N14" i="1"/>
  <c r="O14" i="1"/>
  <c r="S14" i="1"/>
  <c r="N7" i="1"/>
  <c r="O7" i="1"/>
  <c r="S7" i="1"/>
  <c r="N8" i="1"/>
  <c r="O8" i="1"/>
  <c r="S8" i="1"/>
  <c r="N9" i="1"/>
  <c r="O9" i="1"/>
  <c r="S9" i="1"/>
  <c r="N10" i="1"/>
  <c r="O10" i="1"/>
  <c r="S10" i="1"/>
  <c r="N11" i="1"/>
  <c r="O11" i="1"/>
  <c r="S11" i="1"/>
  <c r="N12" i="1"/>
  <c r="O12" i="1"/>
  <c r="S12" i="1"/>
  <c r="N13" i="1"/>
  <c r="O13" i="1"/>
  <c r="S13" i="1"/>
  <c r="N17" i="1"/>
  <c r="O17" i="1"/>
  <c r="S17" i="1"/>
  <c r="N18" i="1"/>
  <c r="O18" i="1"/>
  <c r="S18" i="1"/>
  <c r="T21" i="1"/>
  <c r="N6" i="1"/>
  <c r="O6" i="1"/>
  <c r="S6" i="1"/>
  <c r="N19" i="1"/>
  <c r="O19" i="1"/>
  <c r="S19" i="1"/>
  <c r="O21" i="1"/>
  <c r="N21" i="1"/>
  <c r="Q21" i="1"/>
  <c r="S21" i="1"/>
</calcChain>
</file>

<file path=xl/sharedStrings.xml><?xml version="1.0" encoding="utf-8"?>
<sst xmlns="http://schemas.openxmlformats.org/spreadsheetml/2006/main" count="237" uniqueCount="133">
  <si>
    <t>*All pricing is dynamic based on market demand. #'s below are estimates*</t>
  </si>
  <si>
    <t xml:space="preserve">Network </t>
  </si>
  <si>
    <t xml:space="preserve">Placement Type </t>
  </si>
  <si>
    <t xml:space="preserve">Dimensions </t>
  </si>
  <si>
    <t>Flight</t>
  </si>
  <si>
    <t xml:space="preserve">Campaign </t>
  </si>
  <si>
    <t>Ad Group</t>
  </si>
  <si>
    <t xml:space="preserve">Targeting </t>
  </si>
  <si>
    <t xml:space="preserve">Targeting Discription </t>
  </si>
  <si>
    <t xml:space="preserve">URL(s) - Jay and Ben to provide URLs to set up custom parameters </t>
  </si>
  <si>
    <t>Device</t>
  </si>
  <si>
    <t xml:space="preserve">Price Type </t>
  </si>
  <si>
    <t>Goals</t>
  </si>
  <si>
    <t xml:space="preserve">Estimated Impressions </t>
  </si>
  <si>
    <t>Estimated Clicks</t>
  </si>
  <si>
    <t>Bid Suggestion</t>
  </si>
  <si>
    <t>Estimated CTR</t>
  </si>
  <si>
    <t xml:space="preserve">eCPM </t>
  </si>
  <si>
    <t xml:space="preserve">eCPC </t>
  </si>
  <si>
    <t xml:space="preserve">Suggested Starting Budget (will shift based on performance learnings) </t>
  </si>
  <si>
    <t>Max Monthly Investment</t>
  </si>
  <si>
    <t xml:space="preserve">MSN O&amp;O Only </t>
  </si>
  <si>
    <t>Microsoft Ad Network</t>
  </si>
  <si>
    <t xml:space="preserve">Standard Native </t>
  </si>
  <si>
    <t xml:space="preserve">1200x628 + Copy </t>
  </si>
  <si>
    <t>1 month</t>
  </si>
  <si>
    <t>Retargeting</t>
  </si>
  <si>
    <t xml:space="preserve">Site Visitors - Home Landing Page  </t>
  </si>
  <si>
    <t>Refi Home Page URL (step 1 in process to offers page) - excluding offers pages converters</t>
  </si>
  <si>
    <t xml:space="preserve">Desktop Only </t>
  </si>
  <si>
    <t>CPC</t>
  </si>
  <si>
    <r>
      <t>ROAS via LendingTree 1st Party Data 
&amp;
CPA (based off of UET conversion tracking and offline conversion upload)
Action Needed:</t>
    </r>
    <r>
      <rPr>
        <sz val="11"/>
        <color theme="1"/>
        <rFont val="Calibri"/>
        <family val="2"/>
        <scheme val="minor"/>
      </rPr>
      <t xml:space="preserve"> Jay and Ben to confirm specifics) </t>
    </r>
  </si>
  <si>
    <t>Site Visitors - Pages 2-5 of 20</t>
  </si>
  <si>
    <t>URLs  for steps 2-5 to offers page  - excluding offers pages converters</t>
  </si>
  <si>
    <t>Site Visitors - Pages 6-10 of 20</t>
  </si>
  <si>
    <t>URLs  for steps 6-10 to offers page  - excluding offers pages converters</t>
  </si>
  <si>
    <t xml:space="preserve">Site Visitors - Pages 11-15 of 20 </t>
  </si>
  <si>
    <t>URLs  for steps 11-15 to offers page  - excluding offers pages converters</t>
  </si>
  <si>
    <t xml:space="preserve">Site Visitors - Pages 16-19 of 20 </t>
  </si>
  <si>
    <t>URLs  for steps 16-19 to offers page  - excluding offers pages converters</t>
  </si>
  <si>
    <t xml:space="preserve">In-Market </t>
  </si>
  <si>
    <t xml:space="preserve">In-market - home loans/refinance  </t>
  </si>
  <si>
    <t xml:space="preserve">MSA 1st party data inticators to build a determinist pool of users who are in-market for refinancing a home </t>
  </si>
  <si>
    <t>No Action Needed</t>
  </si>
  <si>
    <t>RON</t>
  </si>
  <si>
    <t>RON  - various</t>
  </si>
  <si>
    <t>Optimizations made on based on goal achievement</t>
  </si>
  <si>
    <t xml:space="preserve">Similar </t>
  </si>
  <si>
    <t xml:space="preserve">UET Pixel - Convesion Page </t>
  </si>
  <si>
    <t xml:space="preserve">Lookalike audience based on UET pixeled CC conversion page </t>
  </si>
  <si>
    <t xml:space="preserve">Search KW RTG </t>
  </si>
  <si>
    <t xml:space="preserve">Top Performing Brand KW List </t>
  </si>
  <si>
    <t xml:space="preserve">Utilize KW lists from search to create top performing brand KW list </t>
  </si>
  <si>
    <t xml:space="preserve">Top Performing non-brand KW list </t>
  </si>
  <si>
    <t xml:space="preserve">Conquesting </t>
  </si>
  <si>
    <t xml:space="preserve">Conquesting KW List </t>
  </si>
  <si>
    <t>Customer Match</t>
  </si>
  <si>
    <t>Customer Match via Liveramp - Placeholder #1</t>
  </si>
  <si>
    <t xml:space="preserve">Jay and Ben to provide available CRM data that can be used.  </t>
  </si>
  <si>
    <t xml:space="preserve">Jay and Ben to provide additional details on CRM data that would be best for the goals and the customer base of this campaign  </t>
  </si>
  <si>
    <t>Customer Match via Liveramp - Placeholder #2</t>
  </si>
  <si>
    <t xml:space="preserve">Search Retargeting - In-Market Autos </t>
  </si>
  <si>
    <t xml:space="preserve">Search KW list - In-Market Autos </t>
  </si>
  <si>
    <t>CPL InMarket: $20</t>
  </si>
  <si>
    <t>TOTAL</t>
  </si>
  <si>
    <t xml:space="preserve">We suggest different ad groups for a few different tactics so that the targeted lines are not competing against eachother </t>
  </si>
  <si>
    <t xml:space="preserve">Notes about Campaign: </t>
  </si>
  <si>
    <t xml:space="preserve">Start Date </t>
  </si>
  <si>
    <t>End Date</t>
  </si>
  <si>
    <t xml:space="preserve">Budget </t>
  </si>
  <si>
    <t>$10-$15K --- ($300 - $500 per day)</t>
  </si>
  <si>
    <t xml:space="preserve">ROAS &amp; CPA - Jay and Ben to confirm </t>
  </si>
  <si>
    <t>Lookback Window</t>
  </si>
  <si>
    <t xml:space="preserve">Immediate (1 day) </t>
  </si>
  <si>
    <t xml:space="preserve">Conversion Tracking </t>
  </si>
  <si>
    <t xml:space="preserve">UET &amp; Outside conversion </t>
  </si>
  <si>
    <t>Desktop Only</t>
  </si>
  <si>
    <t xml:space="preserve">Block List </t>
  </si>
  <si>
    <t xml:space="preserve">MSN.com only to start </t>
  </si>
  <si>
    <t>Ad Units(s)</t>
  </si>
  <si>
    <t>Geo</t>
  </si>
  <si>
    <t>Audience Targeting</t>
  </si>
  <si>
    <t>Targeting Description</t>
  </si>
  <si>
    <t>Price Type</t>
  </si>
  <si>
    <t xml:space="preserve">Estimated Bid </t>
  </si>
  <si>
    <t>Monthly Investment</t>
  </si>
  <si>
    <t>CTV/OTT</t>
  </si>
  <si>
    <t>**estimated**</t>
  </si>
  <si>
    <t>**All scalable**</t>
  </si>
  <si>
    <t>Microsoft Audience Network</t>
  </si>
  <si>
    <t>:05-:90</t>
  </si>
  <si>
    <t>30 Days</t>
  </si>
  <si>
    <t xml:space="preserve">In-market - Relevant Audiences </t>
  </si>
  <si>
    <t>Home &amp; Garden</t>
  </si>
  <si>
    <t>Cross Device</t>
  </si>
  <si>
    <t>CPCV</t>
  </si>
  <si>
    <t>Added Value</t>
  </si>
  <si>
    <t>Ad Effectiveness studies that can measure search lift, impact to CDJ, Multi-Touch Attribution in correlation to Microsoft Audience Network ad exposure. ~1.5M Impressions in 30 day period of time required for study.</t>
  </si>
  <si>
    <t>All dollars are in NET USD currency.</t>
  </si>
  <si>
    <t>*All pricing is dynamic based on market demand. All impressions and numbers are estimates and not-guaranteed.</t>
  </si>
  <si>
    <t>Audience Type</t>
  </si>
  <si>
    <t>Description</t>
  </si>
  <si>
    <t>Category</t>
  </si>
  <si>
    <t>Sub-Category</t>
  </si>
  <si>
    <t>Population (M)</t>
  </si>
  <si>
    <t>InMarket</t>
  </si>
  <si>
    <t>In-market audiences are curated lists of customers who have shown purchase intent signals within a particular category, including searches and clicks on Bing and page views on Microsoft services. Microsoft Advertising supplies the curated list of potential customers, unlike remarketing in a paid search where the advertiser creates the list. You can target and modify bids for these audiences by associating in-market audience lists to ad groups or campaigns, similar to what you do with remarketing lists.</t>
  </si>
  <si>
    <t>Cookware &amp; bakeware</t>
  </si>
  <si>
    <t>Home Appliances</t>
  </si>
  <si>
    <t>Home Décor</t>
  </si>
  <si>
    <t>Home Furnishings</t>
  </si>
  <si>
    <t>Home Furniture</t>
  </si>
  <si>
    <t>Home Improvement</t>
  </si>
  <si>
    <t xml:space="preserve">Home Security </t>
  </si>
  <si>
    <t>Household Supplies</t>
  </si>
  <si>
    <t>Kitchen &amp; Dining</t>
  </si>
  <si>
    <t>Kitchen Tools &amp; Utensils</t>
  </si>
  <si>
    <t>Outdoor Items</t>
  </si>
  <si>
    <t>Pet Supplies</t>
  </si>
  <si>
    <t>Tableware</t>
  </si>
  <si>
    <t>Geo Targets</t>
  </si>
  <si>
    <t>Impression Based Remarketing</t>
  </si>
  <si>
    <t>Impression Based Remarketing List built off of Premium Streaming campaign to utilize on Compatible formats (including Search, PMAX, Display, Native &amp; Online Video)</t>
  </si>
  <si>
    <t>Lift Study</t>
  </si>
  <si>
    <t>Home &amp; Garden
Business Services / Building Construction &amp; Maintenance</t>
  </si>
  <si>
    <t>Business Services</t>
  </si>
  <si>
    <t>Building Construction &amp; Maintenance</t>
  </si>
  <si>
    <t>Building Materiasl &amp; Supplies</t>
  </si>
  <si>
    <t>Remarketing</t>
  </si>
  <si>
    <t>Site Visitors</t>
  </si>
  <si>
    <t>Bakersfield, CA
Visalia, CA
Fresno, CA
Paso Robles, CA
San Luis Obispo, CA</t>
  </si>
  <si>
    <t>Cities in CA</t>
  </si>
  <si>
    <t>CTV/OTT - 1 Campaign / 2 Ad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</si>
</sst>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i/>
      <sz val="11"/>
      <color theme="0"/>
      <name val="Century Gothic"/>
      <family val="2"/>
    </font>
    <font>
      <sz val="11"/>
      <color theme="1"/>
      <name val="Century Gothic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entury Gothic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EB4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10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2" fillId="0" borderId="2" xfId="2" applyFont="1" applyBorder="1" applyAlignment="1">
      <alignment horizontal="center" vertical="center" wrapText="1"/>
    </xf>
    <xf numFmtId="44" fontId="0" fillId="0" borderId="2" xfId="2" applyFont="1" applyBorder="1" applyAlignment="1">
      <alignment horizontal="center" vertical="center" wrapText="1"/>
    </xf>
    <xf numFmtId="164" fontId="0" fillId="0" borderId="2" xfId="1" applyNumberFormat="1" applyFont="1" applyBorder="1" applyAlignment="1">
      <alignment horizontal="center" vertical="center" wrapText="1"/>
    </xf>
    <xf numFmtId="10" fontId="0" fillId="0" borderId="0" xfId="3" applyNumberFormat="1" applyFont="1" applyAlignment="1">
      <alignment horizontal="center" vertical="center" wrapText="1"/>
    </xf>
    <xf numFmtId="10" fontId="2" fillId="0" borderId="2" xfId="3" applyNumberFormat="1" applyFont="1" applyBorder="1" applyAlignment="1">
      <alignment horizontal="center" vertical="center" wrapText="1"/>
    </xf>
    <xf numFmtId="10" fontId="0" fillId="0" borderId="2" xfId="3" applyNumberFormat="1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0" fontId="0" fillId="2" borderId="2" xfId="3" applyNumberFormat="1" applyFont="1" applyFill="1" applyBorder="1" applyAlignment="1">
      <alignment horizontal="center" vertical="center" wrapText="1"/>
    </xf>
    <xf numFmtId="44" fontId="0" fillId="2" borderId="2" xfId="2" applyFont="1" applyFill="1" applyBorder="1" applyAlignment="1">
      <alignment horizontal="center" vertical="center" wrapText="1"/>
    </xf>
    <xf numFmtId="44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44" fontId="5" fillId="5" borderId="2" xfId="2" applyFont="1" applyFill="1" applyBorder="1" applyAlignment="1">
      <alignment horizontal="center" vertical="center" wrapText="1"/>
    </xf>
    <xf numFmtId="10" fontId="5" fillId="5" borderId="2" xfId="3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44" fontId="10" fillId="0" borderId="2" xfId="2" applyFont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6" fontId="0" fillId="0" borderId="0" xfId="0" applyNumberFormat="1" applyAlignment="1">
      <alignment horizontal="center" vertical="center" wrapText="1"/>
    </xf>
    <xf numFmtId="164" fontId="11" fillId="7" borderId="7" xfId="1" applyNumberFormat="1" applyFont="1" applyFill="1" applyBorder="1" applyAlignment="1">
      <alignment horizontal="center" vertical="center" wrapText="1"/>
    </xf>
    <xf numFmtId="165" fontId="11" fillId="7" borderId="8" xfId="0" applyNumberFormat="1" applyFont="1" applyFill="1" applyBorder="1" applyAlignment="1">
      <alignment horizontal="center" vertical="center" wrapText="1"/>
    </xf>
    <xf numFmtId="165" fontId="12" fillId="7" borderId="2" xfId="0" applyNumberFormat="1" applyFont="1" applyFill="1" applyBorder="1" applyAlignment="1">
      <alignment horizontal="center" vertical="center" wrapText="1"/>
    </xf>
    <xf numFmtId="165" fontId="13" fillId="2" borderId="2" xfId="0" applyNumberFormat="1" applyFont="1" applyFill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0" fillId="9" borderId="0" xfId="0" applyFill="1"/>
    <xf numFmtId="0" fontId="14" fillId="0" borderId="0" xfId="0" applyFont="1" applyAlignment="1">
      <alignment horizontal="right" vertical="center"/>
    </xf>
    <xf numFmtId="0" fontId="0" fillId="9" borderId="0" xfId="0" applyFill="1" applyAlignment="1">
      <alignment wrapText="1"/>
    </xf>
    <xf numFmtId="165" fontId="10" fillId="8" borderId="17" xfId="2" applyNumberFormat="1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165" fontId="10" fillId="8" borderId="19" xfId="2" applyNumberFormat="1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vertical="center" wrapText="1"/>
    </xf>
    <xf numFmtId="0" fontId="11" fillId="7" borderId="8" xfId="0" applyFont="1" applyFill="1" applyBorder="1" applyAlignment="1">
      <alignment vertical="center" wrapText="1"/>
    </xf>
    <xf numFmtId="0" fontId="11" fillId="7" borderId="9" xfId="0" applyFont="1" applyFill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165" fontId="15" fillId="8" borderId="2" xfId="2" applyNumberFormat="1" applyFont="1" applyFill="1" applyBorder="1" applyAlignment="1">
      <alignment horizontal="center" vertical="center" wrapText="1"/>
    </xf>
    <xf numFmtId="165" fontId="10" fillId="8" borderId="23" xfId="2" applyNumberFormat="1" applyFont="1" applyFill="1" applyBorder="1" applyAlignment="1">
      <alignment horizontal="center" vertical="center" wrapText="1"/>
    </xf>
    <xf numFmtId="165" fontId="10" fillId="8" borderId="24" xfId="2" applyNumberFormat="1" applyFont="1" applyFill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164" fontId="13" fillId="0" borderId="3" xfId="1" applyNumberFormat="1" applyFont="1" applyBorder="1" applyAlignment="1">
      <alignment horizontal="center" vertical="center" wrapText="1"/>
    </xf>
    <xf numFmtId="164" fontId="13" fillId="0" borderId="6" xfId="1" applyNumberFormat="1" applyFont="1" applyBorder="1" applyAlignment="1">
      <alignment horizontal="center" vertical="center" wrapText="1"/>
    </xf>
    <xf numFmtId="164" fontId="13" fillId="0" borderId="5" xfId="1" applyNumberFormat="1" applyFont="1" applyBorder="1" applyAlignment="1">
      <alignment horizontal="center" vertical="center" wrapText="1"/>
    </xf>
    <xf numFmtId="165" fontId="13" fillId="8" borderId="3" xfId="2" applyNumberFormat="1" applyFont="1" applyFill="1" applyBorder="1" applyAlignment="1">
      <alignment horizontal="center" vertical="center" wrapText="1"/>
    </xf>
    <xf numFmtId="165" fontId="13" fillId="8" borderId="6" xfId="2" applyNumberFormat="1" applyFont="1" applyFill="1" applyBorder="1" applyAlignment="1">
      <alignment horizontal="center" vertical="center" wrapText="1"/>
    </xf>
    <xf numFmtId="165" fontId="13" fillId="8" borderId="5" xfId="2" applyNumberFormat="1" applyFont="1" applyFill="1" applyBorder="1" applyAlignment="1">
      <alignment horizontal="center" vertical="center" wrapText="1"/>
    </xf>
    <xf numFmtId="6" fontId="0" fillId="0" borderId="0" xfId="0" applyNumberForma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left" vertical="center" wrapText="1"/>
    </xf>
    <xf numFmtId="0" fontId="11" fillId="7" borderId="8" xfId="0" applyFont="1" applyFill="1" applyBorder="1" applyAlignment="1">
      <alignment horizontal="left" vertical="center" wrapText="1"/>
    </xf>
    <xf numFmtId="0" fontId="11" fillId="7" borderId="9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65" fontId="13" fillId="6" borderId="3" xfId="2" applyNumberFormat="1" applyFont="1" applyFill="1" applyBorder="1" applyAlignment="1">
      <alignment horizontal="center" vertical="center" wrapText="1"/>
    </xf>
    <xf numFmtId="165" fontId="13" fillId="6" borderId="6" xfId="2" applyNumberFormat="1" applyFont="1" applyFill="1" applyBorder="1" applyAlignment="1">
      <alignment horizontal="center" vertical="center" wrapText="1"/>
    </xf>
    <xf numFmtId="165" fontId="13" fillId="6" borderId="5" xfId="2" applyNumberFormat="1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1" fillId="7" borderId="7" xfId="0" applyFont="1" applyFill="1" applyBorder="1" applyAlignment="1">
      <alignment vertical="center"/>
    </xf>
  </cellXfs>
  <cellStyles count="5">
    <cellStyle name="Comma" xfId="1" builtinId="3"/>
    <cellStyle name="Currency" xfId="2" builtinId="4"/>
    <cellStyle name="Normal" xfId="0" builtinId="0"/>
    <cellStyle name="Normal 2" xfId="4" xr:uid="{337E9327-3F21-4540-A0FB-DEDED1FFE70B}"/>
    <cellStyle name="Percent" xfId="3" builtinId="5"/>
  </cellStyles>
  <dxfs count="0"/>
  <tableStyles count="0" defaultTableStyle="TableStyleMedium2" defaultPivotStyle="PivotStyleLight16"/>
  <colors>
    <mruColors>
      <color rgb="FF3EB4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jpeg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12701</xdr:colOff>
      <xdr:row>0</xdr:row>
      <xdr:rowOff>42862</xdr:rowOff>
    </xdr:from>
    <xdr:to>
      <xdr:col>3</xdr:col>
      <xdr:colOff>361549</xdr:colOff>
      <xdr:row>2</xdr:row>
      <xdr:rowOff>655637</xdr:rowOff>
    </xdr:to>
    <xdr:pic>
      <xdr:nvPicPr>
        <xdr:cNvPr id="5" name="Picture 4" descr="See the source image">
          <a:extLst>
            <a:ext uri="{FF2B5EF4-FFF2-40B4-BE49-F238E27FC236}">
              <a16:creationId xmlns:a16="http://schemas.microsoft.com/office/drawing/2014/main" id="{39E20AD0-64E4-49F2-8B1B-0E29BF518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1" y="42862"/>
          <a:ext cx="4089000" cy="1484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75220</xdr:colOff>
      <xdr:row>3</xdr:row>
      <xdr:rowOff>245402</xdr:rowOff>
    </xdr:from>
    <xdr:to>
      <xdr:col>10</xdr:col>
      <xdr:colOff>1855</xdr:colOff>
      <xdr:row>3</xdr:row>
      <xdr:rowOff>455004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6DCB9DA3-11A0-4914-A361-D6F82B6D9773}"/>
                </a:ext>
              </a:extLst>
            </xdr14:cNvPr>
            <xdr14:cNvContentPartPr/>
          </xdr14:nvContentPartPr>
          <xdr14:nvPr macro=""/>
          <xdr14:xfrm>
            <a:off x="12787920" y="1820202"/>
            <a:ext cx="2374560" cy="2048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DCB9DA3-11A0-4914-A361-D6F82B6D977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733920" y="1712391"/>
              <a:ext cx="2482200" cy="4201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30580</xdr:colOff>
      <xdr:row>11</xdr:row>
      <xdr:rowOff>446002</xdr:rowOff>
    </xdr:from>
    <xdr:to>
      <xdr:col>13</xdr:col>
      <xdr:colOff>1067</xdr:colOff>
      <xdr:row>11</xdr:row>
      <xdr:rowOff>678202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3CF5A55C-1FE9-4167-95BD-BAE2F5739383}"/>
                </a:ext>
              </a:extLst>
            </xdr14:cNvPr>
            <xdr14:cNvContentPartPr/>
          </xdr14:nvContentPartPr>
          <xdr14:nvPr macro=""/>
          <xdr14:xfrm>
            <a:off x="18356680" y="7621502"/>
            <a:ext cx="1637362" cy="2322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3CF5A55C-1FE9-4167-95BD-BAE2F573938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303037" y="7513502"/>
              <a:ext cx="1745007" cy="447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38893</xdr:colOff>
      <xdr:row>0</xdr:row>
      <xdr:rowOff>0</xdr:rowOff>
    </xdr:from>
    <xdr:to>
      <xdr:col>3</xdr:col>
      <xdr:colOff>559252</xdr:colOff>
      <xdr:row>2</xdr:row>
      <xdr:rowOff>257771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171EA3-CDE7-4219-8CFC-D65540C1C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956" y="0"/>
          <a:ext cx="3068296" cy="113883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2</xdr:row>
      <xdr:rowOff>304800</xdr:rowOff>
    </xdr:to>
    <xdr:sp macro="" textlink="">
      <xdr:nvSpPr>
        <xdr:cNvPr id="1025" name="AutoShape 1" descr="Image result for logical position logo">
          <a:extLst>
            <a:ext uri="{FF2B5EF4-FFF2-40B4-BE49-F238E27FC236}">
              <a16:creationId xmlns:a16="http://schemas.microsoft.com/office/drawing/2014/main" id="{568EAE2C-BF93-6A28-120B-BD8DCB670BFA}"/>
            </a:ext>
          </a:extLst>
        </xdr:cNvPr>
        <xdr:cNvSpPr>
          <a:spLocks noChangeAspect="1" noChangeArrowheads="1"/>
        </xdr:cNvSpPr>
      </xdr:nvSpPr>
      <xdr:spPr bwMode="auto">
        <a:xfrm>
          <a:off x="8331200" y="88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7B837734-F2E0-8048-F905-ABE779B25D29}"/>
            </a:ext>
          </a:extLst>
        </xdr:cNvPr>
        <xdr:cNvSpPr>
          <a:spLocks noChangeAspect="1" noChangeArrowheads="1"/>
        </xdr:cNvSpPr>
      </xdr:nvSpPr>
      <xdr:spPr bwMode="auto">
        <a:xfrm>
          <a:off x="107188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722313</xdr:colOff>
      <xdr:row>1</xdr:row>
      <xdr:rowOff>53950</xdr:rowOff>
    </xdr:from>
    <xdr:to>
      <xdr:col>13</xdr:col>
      <xdr:colOff>9526</xdr:colOff>
      <xdr:row>2</xdr:row>
      <xdr:rowOff>220662</xdr:rowOff>
    </xdr:to>
    <xdr:pic>
      <xdr:nvPicPr>
        <xdr:cNvPr id="6" name="Picture 5" descr="Cision - MediaStudio View Media">
          <a:extLst>
            <a:ext uri="{FF2B5EF4-FFF2-40B4-BE49-F238E27FC236}">
              <a16:creationId xmlns:a16="http://schemas.microsoft.com/office/drawing/2014/main" id="{C102B95F-9D71-C8C3-EF41-33082F586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98813" y="236513"/>
          <a:ext cx="2163762" cy="868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1</xdr:row>
      <xdr:rowOff>304800</xdr:rowOff>
    </xdr:to>
    <xdr:sp macro="" textlink="">
      <xdr:nvSpPr>
        <xdr:cNvPr id="3" name="AutoShape 1" descr="Monarch Home Services logo featuring a stylized butterfly in orange, yellow, and teal above the company name in white and orange text.">
          <a:extLst>
            <a:ext uri="{FF2B5EF4-FFF2-40B4-BE49-F238E27FC236}">
              <a16:creationId xmlns:a16="http://schemas.microsoft.com/office/drawing/2014/main" id="{79EB9A4F-461F-E1A5-0C21-CF6C880B1ADE}"/>
            </a:ext>
          </a:extLst>
        </xdr:cNvPr>
        <xdr:cNvSpPr>
          <a:spLocks noChangeAspect="1" noChangeArrowheads="1"/>
        </xdr:cNvSpPr>
      </xdr:nvSpPr>
      <xdr:spPr bwMode="auto">
        <a:xfrm>
          <a:off x="615315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1450547</xdr:colOff>
      <xdr:row>0</xdr:row>
      <xdr:rowOff>158749</xdr:rowOff>
    </xdr:from>
    <xdr:to>
      <xdr:col>11</xdr:col>
      <xdr:colOff>330200</xdr:colOff>
      <xdr:row>2</xdr:row>
      <xdr:rowOff>384173</xdr:rowOff>
    </xdr:to>
    <xdr:pic>
      <xdr:nvPicPr>
        <xdr:cNvPr id="4" name="Picture 3" descr="Monarch Home Services - Aeroseal">
          <a:extLst>
            <a:ext uri="{FF2B5EF4-FFF2-40B4-BE49-F238E27FC236}">
              <a16:creationId xmlns:a16="http://schemas.microsoft.com/office/drawing/2014/main" id="{A2769597-489C-7BE6-A2BD-0CE2C1108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3735" y="158749"/>
          <a:ext cx="1626028" cy="1106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1</xdr:row>
      <xdr:rowOff>0</xdr:rowOff>
    </xdr:from>
    <xdr:to>
      <xdr:col>21</xdr:col>
      <xdr:colOff>533400</xdr:colOff>
      <xdr:row>32</xdr:row>
      <xdr:rowOff>104460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4CF307-4C2A-52B8-C5B6-0AC2DD434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0" y="180975"/>
          <a:ext cx="13138150" cy="571468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7-07T17:41:53.926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0,'1677'70,"-655"-31,3-39,-432-2,-441 9,194 36,-216-24,81 2,282-7,-371-12,107-5,-196-2,-2-1,1-2,59-23,-56 18,0 1,59-10,-41 17,88 2,-122 4,12-1</inkml:trace>
  <inkml:trace contextRef="#ctx0" brushRef="#br0" timeOffset="1230.08">1568 531,'8'1,"1"0,-1 0,1 1,-1 0,11 4,32 8,86-4,181-9,-142-4,2982 3,-3118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7-07T18:04:30.60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68 185,'484'21,"-134"-5,-42-4,-79 13,72 7,436 72,-217-34,-286-37,78 5,-116-21,87 3,-1-21,-251 1</inkml:trace>
  <inkml:trace contextRef="#ctx0" brushRef="#br0" timeOffset="574.04">4548 79</inkml:trace>
  <inkml:trace contextRef="#ctx0" brushRef="#br0" timeOffset="3331.06">4535 79,'-1837'0,"1747"-5,-1-3,-96-22,60 8,48 14,-1 4,-92 6,45 1,112-3,-45-1,1 3,-66 11,105-9,1 0,-1 2,1 0,0 1,0 1,1 1,0 0,1 2,0 0,-17 14,16-10,0-1,-1 0,-29 14,37-22,-1-1,0-1,0 0,0-1,0 0,-1-1,-24 1,-371-2,179-4,222 3,-1 0,0-1,0 1,1-2,-1 1,0-1,1 0,-1-1,1 0,0 0,0 0,0-1,0 0,-11-10,7 4,2-1,-1 0,1 0,1-1,0 0,1-1,-7-16,11 24,0 1,1-1,-1 1,-1 0,1 0,-1 0,1 1,-1-1,0 1,0 0,-1 0,1 0,-1 1,1-1,-1 1,0 0,0 1,0-1,0 1,-7-1,-7-1,-1 2,1 0,-37 4,306 1,-73-6,212 5,-201 15,61 2,-151-22,-51 0,0 2,-1 2,71 12,5 6,175 8,-32-5,-14-7,-138-11,65 12,48 2,154-20,-348 1</inkml:trace>
  <inkml:trace contextRef="#ctx0" brushRef="#br0" timeOffset="4456.6">4196 644,'-3636'0,"3605"0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68C3-6037-4750-BF6F-88FB1C7D149E}">
  <dimension ref="B2:U33"/>
  <sheetViews>
    <sheetView showGridLines="0" zoomScale="75" zoomScaleNormal="75" workbookViewId="0">
      <selection activeCell="E3" sqref="E3"/>
    </sheetView>
  </sheetViews>
  <sheetFormatPr defaultColWidth="9" defaultRowHeight="14.5" x14ac:dyDescent="0.35"/>
  <cols>
    <col min="1" max="1" width="9" style="1"/>
    <col min="2" max="2" width="20.81640625" style="1" customWidth="1"/>
    <col min="3" max="3" width="31.54296875" style="1" customWidth="1"/>
    <col min="4" max="4" width="20" style="1" customWidth="1"/>
    <col min="5" max="7" width="16.1796875" style="1" customWidth="1"/>
    <col min="8" max="8" width="28.1796875" style="1" customWidth="1"/>
    <col min="9" max="10" width="35.7265625" style="1" customWidth="1"/>
    <col min="11" max="11" width="17.81640625" style="1" customWidth="1"/>
    <col min="12" max="12" width="9" style="1" customWidth="1"/>
    <col min="13" max="13" width="24.54296875" style="1" customWidth="1"/>
    <col min="14" max="14" width="14.81640625" style="1" customWidth="1"/>
    <col min="15" max="15" width="12.7265625" style="1" customWidth="1"/>
    <col min="16" max="16" width="12.7265625" style="3" customWidth="1"/>
    <col min="17" max="17" width="11.54296875" style="7" customWidth="1"/>
    <col min="18" max="18" width="10" style="3" customWidth="1"/>
    <col min="19" max="19" width="12.26953125" style="1" bestFit="1" customWidth="1"/>
    <col min="20" max="20" width="20.453125" style="1" customWidth="1"/>
    <col min="21" max="21" width="14.81640625" style="3" customWidth="1"/>
    <col min="22" max="16384" width="9" style="1"/>
  </cols>
  <sheetData>
    <row r="2" spans="2:21" ht="55" customHeight="1" x14ac:dyDescent="0.35">
      <c r="B2"/>
    </row>
    <row r="3" spans="2:21" ht="55" customHeight="1" x14ac:dyDescent="0.45">
      <c r="B3"/>
      <c r="L3" s="87" t="s">
        <v>0</v>
      </c>
      <c r="M3" s="87"/>
      <c r="N3" s="87"/>
      <c r="O3" s="87"/>
      <c r="P3" s="87"/>
      <c r="Q3" s="87"/>
      <c r="R3" s="87"/>
      <c r="S3" s="87"/>
      <c r="T3" s="87"/>
      <c r="U3" s="87"/>
    </row>
    <row r="4" spans="2:21" s="2" customFormat="1" ht="58" x14ac:dyDescent="0.35">
      <c r="B4" s="29" t="s">
        <v>1</v>
      </c>
      <c r="C4" s="29" t="s">
        <v>2</v>
      </c>
      <c r="D4" s="29" t="s">
        <v>3</v>
      </c>
      <c r="E4" s="29" t="s">
        <v>4</v>
      </c>
      <c r="F4" s="29" t="s">
        <v>5</v>
      </c>
      <c r="G4" s="29" t="s">
        <v>6</v>
      </c>
      <c r="H4" s="29" t="s">
        <v>7</v>
      </c>
      <c r="I4" s="29" t="s">
        <v>8</v>
      </c>
      <c r="J4" s="29" t="s">
        <v>9</v>
      </c>
      <c r="K4" s="29" t="s">
        <v>10</v>
      </c>
      <c r="L4" s="29" t="s">
        <v>11</v>
      </c>
      <c r="M4" s="29" t="s">
        <v>12</v>
      </c>
      <c r="N4" s="29" t="s">
        <v>13</v>
      </c>
      <c r="O4" s="29" t="s">
        <v>14</v>
      </c>
      <c r="P4" s="4" t="s">
        <v>15</v>
      </c>
      <c r="Q4" s="8" t="s">
        <v>16</v>
      </c>
      <c r="R4" s="4" t="s">
        <v>17</v>
      </c>
      <c r="S4" s="29" t="s">
        <v>18</v>
      </c>
      <c r="T4" s="29" t="s">
        <v>19</v>
      </c>
      <c r="U4" s="4" t="s">
        <v>20</v>
      </c>
    </row>
    <row r="5" spans="2:21" s="2" customFormat="1" ht="24" customHeight="1" x14ac:dyDescent="0.35">
      <c r="B5" s="20" t="s">
        <v>21</v>
      </c>
      <c r="C5" s="21"/>
      <c r="D5" s="21"/>
      <c r="E5" s="22"/>
      <c r="F5" s="22"/>
      <c r="G5" s="22"/>
      <c r="H5" s="21"/>
      <c r="I5" s="21"/>
      <c r="J5" s="21"/>
      <c r="K5" s="21"/>
      <c r="L5" s="21"/>
      <c r="M5" s="22"/>
      <c r="N5" s="21"/>
      <c r="O5" s="21"/>
      <c r="P5" s="23"/>
      <c r="Q5" s="24"/>
      <c r="R5" s="23"/>
      <c r="S5" s="21"/>
      <c r="T5" s="21"/>
      <c r="U5" s="23"/>
    </row>
    <row r="6" spans="2:21" ht="60" customHeight="1" x14ac:dyDescent="0.35">
      <c r="B6" s="28" t="s">
        <v>22</v>
      </c>
      <c r="C6" s="28" t="s">
        <v>23</v>
      </c>
      <c r="D6" s="28" t="s">
        <v>24</v>
      </c>
      <c r="E6" s="88" t="s">
        <v>25</v>
      </c>
      <c r="F6" s="91" t="s">
        <v>26</v>
      </c>
      <c r="G6" s="91" t="s">
        <v>26</v>
      </c>
      <c r="H6" s="11" t="s">
        <v>26</v>
      </c>
      <c r="I6" s="28" t="s">
        <v>27</v>
      </c>
      <c r="J6" s="19" t="s">
        <v>28</v>
      </c>
      <c r="K6" s="28" t="s">
        <v>29</v>
      </c>
      <c r="L6" s="28" t="s">
        <v>30</v>
      </c>
      <c r="M6" s="89" t="s">
        <v>31</v>
      </c>
      <c r="N6" s="6">
        <f>(T6*1000)/R6</f>
        <v>300000</v>
      </c>
      <c r="O6" s="10">
        <f>(N6*Q6)</f>
        <v>600</v>
      </c>
      <c r="P6" s="5">
        <v>2.5</v>
      </c>
      <c r="Q6" s="9">
        <v>2E-3</v>
      </c>
      <c r="R6" s="5">
        <v>5</v>
      </c>
      <c r="S6" s="5">
        <f>T6/O6</f>
        <v>2.5</v>
      </c>
      <c r="T6" s="5">
        <v>1500</v>
      </c>
      <c r="U6" s="5">
        <v>75000</v>
      </c>
    </row>
    <row r="7" spans="2:21" ht="60" customHeight="1" x14ac:dyDescent="0.35">
      <c r="B7" s="28" t="s">
        <v>22</v>
      </c>
      <c r="C7" s="28" t="s">
        <v>23</v>
      </c>
      <c r="D7" s="28" t="s">
        <v>24</v>
      </c>
      <c r="E7" s="88"/>
      <c r="F7" s="92"/>
      <c r="G7" s="92"/>
      <c r="H7" s="11" t="s">
        <v>26</v>
      </c>
      <c r="I7" s="28" t="s">
        <v>32</v>
      </c>
      <c r="J7" s="19" t="s">
        <v>33</v>
      </c>
      <c r="K7" s="28" t="s">
        <v>29</v>
      </c>
      <c r="L7" s="28" t="s">
        <v>30</v>
      </c>
      <c r="M7" s="89"/>
      <c r="N7" s="6">
        <f t="shared" ref="N7:N10" si="0">(T7*1000)/R7</f>
        <v>250000</v>
      </c>
      <c r="O7" s="10">
        <f t="shared" ref="O7:O10" si="1">(N7*Q7)</f>
        <v>625</v>
      </c>
      <c r="P7" s="5">
        <v>3</v>
      </c>
      <c r="Q7" s="9">
        <v>2.5000000000000001E-3</v>
      </c>
      <c r="R7" s="5">
        <v>6</v>
      </c>
      <c r="S7" s="5">
        <f t="shared" ref="S7:S10" si="2">T7/O7</f>
        <v>2.4</v>
      </c>
      <c r="T7" s="5">
        <v>1500</v>
      </c>
      <c r="U7" s="5">
        <v>65000</v>
      </c>
    </row>
    <row r="8" spans="2:21" ht="60" customHeight="1" x14ac:dyDescent="0.35">
      <c r="B8" s="28" t="s">
        <v>22</v>
      </c>
      <c r="C8" s="28" t="s">
        <v>23</v>
      </c>
      <c r="D8" s="28" t="s">
        <v>24</v>
      </c>
      <c r="E8" s="88"/>
      <c r="F8" s="92"/>
      <c r="G8" s="92"/>
      <c r="H8" s="11" t="s">
        <v>26</v>
      </c>
      <c r="I8" s="28" t="s">
        <v>34</v>
      </c>
      <c r="J8" s="19" t="s">
        <v>35</v>
      </c>
      <c r="K8" s="28" t="s">
        <v>29</v>
      </c>
      <c r="L8" s="28" t="s">
        <v>30</v>
      </c>
      <c r="M8" s="89"/>
      <c r="N8" s="6">
        <f t="shared" si="0"/>
        <v>214285.71428571429</v>
      </c>
      <c r="O8" s="10">
        <f t="shared" si="1"/>
        <v>642.85714285714289</v>
      </c>
      <c r="P8" s="5">
        <v>3.5</v>
      </c>
      <c r="Q8" s="9">
        <v>3.0000000000000001E-3</v>
      </c>
      <c r="R8" s="5">
        <v>7</v>
      </c>
      <c r="S8" s="5">
        <f t="shared" si="2"/>
        <v>2.333333333333333</v>
      </c>
      <c r="T8" s="5">
        <v>1500</v>
      </c>
      <c r="U8" s="5">
        <v>50000</v>
      </c>
    </row>
    <row r="9" spans="2:21" ht="60" customHeight="1" x14ac:dyDescent="0.35">
      <c r="B9" s="28" t="s">
        <v>22</v>
      </c>
      <c r="C9" s="28" t="s">
        <v>23</v>
      </c>
      <c r="D9" s="28" t="s">
        <v>24</v>
      </c>
      <c r="E9" s="88"/>
      <c r="F9" s="92"/>
      <c r="G9" s="92"/>
      <c r="H9" s="11" t="s">
        <v>26</v>
      </c>
      <c r="I9" s="28" t="s">
        <v>36</v>
      </c>
      <c r="J9" s="19" t="s">
        <v>37</v>
      </c>
      <c r="K9" s="28" t="s">
        <v>29</v>
      </c>
      <c r="L9" s="28" t="s">
        <v>30</v>
      </c>
      <c r="M9" s="89"/>
      <c r="N9" s="6">
        <f t="shared" si="0"/>
        <v>312500</v>
      </c>
      <c r="O9" s="10">
        <f t="shared" si="1"/>
        <v>1093.75</v>
      </c>
      <c r="P9" s="5">
        <v>4</v>
      </c>
      <c r="Q9" s="9">
        <v>3.5000000000000001E-3</v>
      </c>
      <c r="R9" s="5">
        <v>8</v>
      </c>
      <c r="S9" s="5">
        <f t="shared" si="2"/>
        <v>2.2857142857142856</v>
      </c>
      <c r="T9" s="5">
        <v>2500</v>
      </c>
      <c r="U9" s="5">
        <v>40000</v>
      </c>
    </row>
    <row r="10" spans="2:21" ht="60" customHeight="1" x14ac:dyDescent="0.35">
      <c r="B10" s="28" t="s">
        <v>22</v>
      </c>
      <c r="C10" s="28" t="s">
        <v>23</v>
      </c>
      <c r="D10" s="28" t="s">
        <v>24</v>
      </c>
      <c r="E10" s="88"/>
      <c r="F10" s="93"/>
      <c r="G10" s="93"/>
      <c r="H10" s="11" t="s">
        <v>26</v>
      </c>
      <c r="I10" s="28" t="s">
        <v>38</v>
      </c>
      <c r="J10" s="19" t="s">
        <v>39</v>
      </c>
      <c r="K10" s="28" t="s">
        <v>29</v>
      </c>
      <c r="L10" s="28" t="s">
        <v>30</v>
      </c>
      <c r="M10" s="88"/>
      <c r="N10" s="6">
        <f t="shared" si="0"/>
        <v>277777.77777777775</v>
      </c>
      <c r="O10" s="10">
        <f t="shared" si="1"/>
        <v>1111.1111111111111</v>
      </c>
      <c r="P10" s="5">
        <v>4.5</v>
      </c>
      <c r="Q10" s="9">
        <v>4.0000000000000001E-3</v>
      </c>
      <c r="R10" s="5">
        <v>9</v>
      </c>
      <c r="S10" s="5">
        <f t="shared" si="2"/>
        <v>2.25</v>
      </c>
      <c r="T10" s="5">
        <v>2500</v>
      </c>
      <c r="U10" s="5">
        <v>25000</v>
      </c>
    </row>
    <row r="11" spans="2:21" ht="60" customHeight="1" x14ac:dyDescent="0.35">
      <c r="B11" s="28" t="s">
        <v>22</v>
      </c>
      <c r="C11" s="28" t="s">
        <v>23</v>
      </c>
      <c r="D11" s="28" t="s">
        <v>24</v>
      </c>
      <c r="E11" s="88"/>
      <c r="F11" s="28" t="s">
        <v>40</v>
      </c>
      <c r="G11" s="28" t="s">
        <v>40</v>
      </c>
      <c r="H11" s="11" t="s">
        <v>41</v>
      </c>
      <c r="I11" s="28" t="s">
        <v>42</v>
      </c>
      <c r="J11" s="19" t="s">
        <v>43</v>
      </c>
      <c r="K11" s="28" t="s">
        <v>29</v>
      </c>
      <c r="L11" s="28" t="s">
        <v>30</v>
      </c>
      <c r="M11" s="88"/>
      <c r="N11" s="6">
        <f t="shared" ref="N11:N18" si="3">(T11*1000)/R11</f>
        <v>600000</v>
      </c>
      <c r="O11" s="10">
        <f t="shared" ref="O11:O18" si="4">(N11*Q11)</f>
        <v>900</v>
      </c>
      <c r="P11" s="5">
        <v>1.5</v>
      </c>
      <c r="Q11" s="9">
        <v>1.5E-3</v>
      </c>
      <c r="R11" s="5">
        <v>2.5</v>
      </c>
      <c r="S11" s="5">
        <f>T11/O11</f>
        <v>1.6666666666666667</v>
      </c>
      <c r="T11" s="5">
        <v>1500</v>
      </c>
      <c r="U11" s="5">
        <v>100000</v>
      </c>
    </row>
    <row r="12" spans="2:21" ht="60" customHeight="1" x14ac:dyDescent="0.35">
      <c r="B12" s="28" t="s">
        <v>22</v>
      </c>
      <c r="C12" s="28" t="s">
        <v>23</v>
      </c>
      <c r="D12" s="28" t="s">
        <v>24</v>
      </c>
      <c r="E12" s="88"/>
      <c r="F12" s="28" t="s">
        <v>44</v>
      </c>
      <c r="G12" s="28" t="s">
        <v>44</v>
      </c>
      <c r="H12" s="11" t="s">
        <v>45</v>
      </c>
      <c r="I12" s="28" t="s">
        <v>46</v>
      </c>
      <c r="J12" s="19" t="s">
        <v>43</v>
      </c>
      <c r="K12" s="28" t="s">
        <v>29</v>
      </c>
      <c r="L12" s="28" t="s">
        <v>30</v>
      </c>
      <c r="M12" s="88"/>
      <c r="N12" s="6">
        <f t="shared" si="3"/>
        <v>250000</v>
      </c>
      <c r="O12" s="10">
        <f t="shared" si="4"/>
        <v>250</v>
      </c>
      <c r="P12" s="5">
        <v>0.75</v>
      </c>
      <c r="Q12" s="9">
        <v>1E-3</v>
      </c>
      <c r="R12" s="5">
        <v>2</v>
      </c>
      <c r="S12" s="5">
        <f t="shared" ref="S12:S19" si="5">T12/O12</f>
        <v>2</v>
      </c>
      <c r="T12" s="5">
        <v>500</v>
      </c>
      <c r="U12" s="5">
        <v>250000</v>
      </c>
    </row>
    <row r="13" spans="2:21" ht="60" customHeight="1" x14ac:dyDescent="0.35">
      <c r="B13" s="28" t="s">
        <v>22</v>
      </c>
      <c r="C13" s="28" t="s">
        <v>23</v>
      </c>
      <c r="D13" s="28" t="s">
        <v>24</v>
      </c>
      <c r="E13" s="88"/>
      <c r="F13" s="28" t="s">
        <v>47</v>
      </c>
      <c r="G13" s="28" t="s">
        <v>47</v>
      </c>
      <c r="H13" s="12" t="s">
        <v>48</v>
      </c>
      <c r="I13" s="13" t="s">
        <v>49</v>
      </c>
      <c r="J13" s="19" t="s">
        <v>43</v>
      </c>
      <c r="K13" s="28" t="s">
        <v>29</v>
      </c>
      <c r="L13" s="28" t="s">
        <v>30</v>
      </c>
      <c r="M13" s="88"/>
      <c r="N13" s="6">
        <f t="shared" si="3"/>
        <v>71428.571428571435</v>
      </c>
      <c r="O13" s="10">
        <f t="shared" si="4"/>
        <v>178.57142857142858</v>
      </c>
      <c r="P13" s="5">
        <v>1.75</v>
      </c>
      <c r="Q13" s="9">
        <v>2.5000000000000001E-3</v>
      </c>
      <c r="R13" s="5">
        <v>3.5</v>
      </c>
      <c r="S13" s="5">
        <f t="shared" si="5"/>
        <v>1.4</v>
      </c>
      <c r="T13" s="5">
        <v>250</v>
      </c>
      <c r="U13" s="5">
        <v>25000</v>
      </c>
    </row>
    <row r="14" spans="2:21" ht="60" customHeight="1" x14ac:dyDescent="0.35">
      <c r="B14" s="28" t="s">
        <v>22</v>
      </c>
      <c r="C14" s="28" t="s">
        <v>23</v>
      </c>
      <c r="D14" s="28" t="s">
        <v>24</v>
      </c>
      <c r="E14" s="88"/>
      <c r="F14" s="91" t="s">
        <v>50</v>
      </c>
      <c r="G14" s="91" t="s">
        <v>50</v>
      </c>
      <c r="H14" s="12" t="s">
        <v>51</v>
      </c>
      <c r="I14" s="13" t="s">
        <v>52</v>
      </c>
      <c r="J14" s="19" t="s">
        <v>43</v>
      </c>
      <c r="K14" s="28" t="s">
        <v>29</v>
      </c>
      <c r="L14" s="28" t="s">
        <v>30</v>
      </c>
      <c r="M14" s="88"/>
      <c r="N14" s="6">
        <f t="shared" ref="N14:N15" si="6">(T14*1000)/R14</f>
        <v>150000</v>
      </c>
      <c r="O14" s="10">
        <f t="shared" ref="O14:O15" si="7">(N14*Q14)</f>
        <v>600</v>
      </c>
      <c r="P14" s="5">
        <v>4</v>
      </c>
      <c r="Q14" s="9">
        <v>4.0000000000000001E-3</v>
      </c>
      <c r="R14" s="5">
        <v>5</v>
      </c>
      <c r="S14" s="5">
        <f t="shared" ref="S14" si="8">T14/O14</f>
        <v>1.25</v>
      </c>
      <c r="T14" s="5">
        <v>750</v>
      </c>
      <c r="U14" s="5">
        <v>20000</v>
      </c>
    </row>
    <row r="15" spans="2:21" ht="60" customHeight="1" x14ac:dyDescent="0.35">
      <c r="B15" s="28" t="s">
        <v>22</v>
      </c>
      <c r="C15" s="28" t="s">
        <v>23</v>
      </c>
      <c r="D15" s="28" t="s">
        <v>24</v>
      </c>
      <c r="E15" s="88"/>
      <c r="F15" s="92"/>
      <c r="G15" s="92"/>
      <c r="H15" s="12" t="s">
        <v>53</v>
      </c>
      <c r="I15" s="28" t="s">
        <v>52</v>
      </c>
      <c r="J15" s="19" t="s">
        <v>43</v>
      </c>
      <c r="K15" s="28" t="s">
        <v>29</v>
      </c>
      <c r="L15" s="28" t="s">
        <v>30</v>
      </c>
      <c r="M15" s="88"/>
      <c r="N15" s="6">
        <f t="shared" si="6"/>
        <v>150000</v>
      </c>
      <c r="O15" s="10">
        <f t="shared" si="7"/>
        <v>600</v>
      </c>
      <c r="P15" s="5">
        <v>2</v>
      </c>
      <c r="Q15" s="9">
        <v>4.0000000000000001E-3</v>
      </c>
      <c r="R15" s="5">
        <v>5</v>
      </c>
      <c r="S15" s="5">
        <f>T15/O15</f>
        <v>1.25</v>
      </c>
      <c r="T15" s="5">
        <v>750</v>
      </c>
      <c r="U15" s="5">
        <v>35000</v>
      </c>
    </row>
    <row r="16" spans="2:21" ht="60" customHeight="1" x14ac:dyDescent="0.35">
      <c r="B16" s="28"/>
      <c r="C16" s="28"/>
      <c r="D16" s="28"/>
      <c r="E16" s="88"/>
      <c r="F16" s="93"/>
      <c r="G16" s="93"/>
      <c r="H16" s="12" t="s">
        <v>54</v>
      </c>
      <c r="I16" s="28" t="s">
        <v>55</v>
      </c>
      <c r="J16" s="27" t="s">
        <v>43</v>
      </c>
      <c r="K16" s="28" t="s">
        <v>29</v>
      </c>
      <c r="L16" s="28" t="s">
        <v>30</v>
      </c>
      <c r="M16" s="88"/>
      <c r="N16" s="6">
        <f t="shared" ref="N16" si="9">(T16*1000)/R16</f>
        <v>125000</v>
      </c>
      <c r="O16" s="10">
        <f t="shared" ref="O16" si="10">(N16*Q16)</f>
        <v>125500</v>
      </c>
      <c r="P16" s="5">
        <v>3</v>
      </c>
      <c r="Q16" s="9">
        <v>1.004</v>
      </c>
      <c r="R16" s="5">
        <v>6</v>
      </c>
      <c r="S16" s="5">
        <f>T16/O16</f>
        <v>5.9760956175298804E-3</v>
      </c>
      <c r="T16" s="5">
        <v>750</v>
      </c>
      <c r="U16" s="5">
        <v>35000</v>
      </c>
    </row>
    <row r="17" spans="2:21" ht="60" customHeight="1" x14ac:dyDescent="0.35">
      <c r="B17" s="28" t="s">
        <v>22</v>
      </c>
      <c r="C17" s="28" t="s">
        <v>23</v>
      </c>
      <c r="D17" s="28" t="s">
        <v>24</v>
      </c>
      <c r="E17" s="88"/>
      <c r="F17" s="91" t="s">
        <v>56</v>
      </c>
      <c r="G17" s="91" t="s">
        <v>56</v>
      </c>
      <c r="H17" s="12" t="s">
        <v>57</v>
      </c>
      <c r="I17" s="13" t="s">
        <v>58</v>
      </c>
      <c r="J17" s="94" t="s">
        <v>59</v>
      </c>
      <c r="K17" s="28" t="s">
        <v>29</v>
      </c>
      <c r="L17" s="28" t="s">
        <v>30</v>
      </c>
      <c r="M17" s="88"/>
      <c r="N17" s="6">
        <f t="shared" si="3"/>
        <v>100000</v>
      </c>
      <c r="O17" s="10">
        <f t="shared" si="4"/>
        <v>400</v>
      </c>
      <c r="P17" s="5">
        <v>3</v>
      </c>
      <c r="Q17" s="9">
        <v>4.0000000000000001E-3</v>
      </c>
      <c r="R17" s="5">
        <v>5</v>
      </c>
      <c r="S17" s="5">
        <f t="shared" si="5"/>
        <v>1.25</v>
      </c>
      <c r="T17" s="5">
        <v>500</v>
      </c>
      <c r="U17" s="5">
        <v>25000</v>
      </c>
    </row>
    <row r="18" spans="2:21" ht="60" customHeight="1" x14ac:dyDescent="0.35">
      <c r="B18" s="28" t="s">
        <v>22</v>
      </c>
      <c r="C18" s="28" t="s">
        <v>23</v>
      </c>
      <c r="D18" s="28" t="s">
        <v>24</v>
      </c>
      <c r="E18" s="88"/>
      <c r="F18" s="93"/>
      <c r="G18" s="93"/>
      <c r="H18" s="12" t="s">
        <v>60</v>
      </c>
      <c r="I18" s="13" t="s">
        <v>58</v>
      </c>
      <c r="J18" s="95"/>
      <c r="K18" s="28" t="s">
        <v>29</v>
      </c>
      <c r="L18" s="28" t="s">
        <v>30</v>
      </c>
      <c r="M18" s="88"/>
      <c r="N18" s="6">
        <f t="shared" si="3"/>
        <v>100000</v>
      </c>
      <c r="O18" s="10">
        <f t="shared" si="4"/>
        <v>400</v>
      </c>
      <c r="P18" s="5">
        <v>3</v>
      </c>
      <c r="Q18" s="9">
        <v>4.0000000000000001E-3</v>
      </c>
      <c r="R18" s="5">
        <v>5</v>
      </c>
      <c r="S18" s="5">
        <f>T18/O18</f>
        <v>1.25</v>
      </c>
      <c r="T18" s="5">
        <v>500</v>
      </c>
      <c r="U18" s="5">
        <v>25000</v>
      </c>
    </row>
    <row r="19" spans="2:21" ht="40" hidden="1" customHeight="1" x14ac:dyDescent="0.35">
      <c r="B19" s="28" t="s">
        <v>22</v>
      </c>
      <c r="C19" s="28" t="s">
        <v>23</v>
      </c>
      <c r="D19" s="28" t="s">
        <v>24</v>
      </c>
      <c r="E19" s="88"/>
      <c r="F19" s="28"/>
      <c r="G19" s="28"/>
      <c r="H19" s="28" t="s">
        <v>61</v>
      </c>
      <c r="I19" s="28" t="s">
        <v>62</v>
      </c>
      <c r="J19" s="28"/>
      <c r="K19" s="28"/>
      <c r="L19" s="28" t="s">
        <v>30</v>
      </c>
      <c r="M19" s="88"/>
      <c r="N19" s="6">
        <f t="shared" ref="N19" si="11">(U19*1000)/R19</f>
        <v>3076923.076923077</v>
      </c>
      <c r="O19" s="10">
        <f t="shared" ref="O19" si="12">(N19*Q19)</f>
        <v>12307.692307692309</v>
      </c>
      <c r="P19" s="5"/>
      <c r="Q19" s="9">
        <v>4.0000000000000001E-3</v>
      </c>
      <c r="R19" s="5">
        <v>3.25</v>
      </c>
      <c r="S19" s="5">
        <f t="shared" si="5"/>
        <v>0</v>
      </c>
      <c r="T19" s="5"/>
      <c r="U19" s="5">
        <v>10000</v>
      </c>
    </row>
    <row r="20" spans="2:21" ht="5.25" customHeight="1" x14ac:dyDescent="0.35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 t="s">
        <v>63</v>
      </c>
      <c r="N20" s="14"/>
      <c r="O20" s="14"/>
      <c r="P20" s="16"/>
      <c r="Q20" s="15"/>
      <c r="R20" s="16"/>
      <c r="S20" s="14"/>
      <c r="T20" s="14"/>
      <c r="U20" s="16"/>
    </row>
    <row r="21" spans="2:21" s="2" customFormat="1" x14ac:dyDescent="0.35">
      <c r="B21" s="29" t="s">
        <v>64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18">
        <f>SUM(N6:N18)</f>
        <v>2900992.0634920634</v>
      </c>
      <c r="O21" s="18">
        <f>SUM(O6:O18)</f>
        <v>132901.28968253967</v>
      </c>
      <c r="P21" s="4"/>
      <c r="Q21" s="8">
        <f>(O21/N21)</f>
        <v>4.5812358935777307E-2</v>
      </c>
      <c r="R21" s="4"/>
      <c r="S21" s="4">
        <f>(T21/O21)</f>
        <v>0.11286572188900791</v>
      </c>
      <c r="T21" s="17">
        <f>SUM(T6:T18)</f>
        <v>15000</v>
      </c>
      <c r="U21" s="4">
        <f>SUM(U6:U20)</f>
        <v>780000</v>
      </c>
    </row>
    <row r="22" spans="2:21" ht="16.5" customHeight="1" x14ac:dyDescent="0.35">
      <c r="B22" s="90" t="s">
        <v>65</v>
      </c>
      <c r="C22" s="90"/>
      <c r="D22" s="90"/>
      <c r="E22" s="90"/>
      <c r="F22" s="90"/>
      <c r="G22" s="90"/>
      <c r="H22" s="90"/>
      <c r="I22" s="90"/>
      <c r="J22" s="90"/>
      <c r="K22" s="90"/>
      <c r="L22" s="90"/>
    </row>
    <row r="25" spans="2:21" x14ac:dyDescent="0.35">
      <c r="B25" s="25" t="s">
        <v>66</v>
      </c>
    </row>
    <row r="26" spans="2:21" x14ac:dyDescent="0.35">
      <c r="B26" s="28" t="s">
        <v>67</v>
      </c>
      <c r="C26" s="26">
        <v>44390</v>
      </c>
    </row>
    <row r="27" spans="2:21" x14ac:dyDescent="0.35">
      <c r="B27" s="28" t="s">
        <v>68</v>
      </c>
      <c r="C27" s="26">
        <v>44423</v>
      </c>
    </row>
    <row r="28" spans="2:21" x14ac:dyDescent="0.35">
      <c r="B28" s="28" t="s">
        <v>69</v>
      </c>
      <c r="C28" s="28" t="s">
        <v>70</v>
      </c>
    </row>
    <row r="29" spans="2:21" ht="29" x14ac:dyDescent="0.35">
      <c r="B29" s="28" t="s">
        <v>12</v>
      </c>
      <c r="C29" s="28" t="s">
        <v>71</v>
      </c>
    </row>
    <row r="30" spans="2:21" x14ac:dyDescent="0.35">
      <c r="B30" s="28" t="s">
        <v>72</v>
      </c>
      <c r="C30" s="28" t="s">
        <v>73</v>
      </c>
    </row>
    <row r="31" spans="2:21" x14ac:dyDescent="0.35">
      <c r="B31" s="28" t="s">
        <v>74</v>
      </c>
      <c r="C31" s="28" t="s">
        <v>75</v>
      </c>
    </row>
    <row r="32" spans="2:21" x14ac:dyDescent="0.35">
      <c r="B32" s="28" t="s">
        <v>10</v>
      </c>
      <c r="C32" s="28" t="s">
        <v>76</v>
      </c>
    </row>
    <row r="33" spans="2:3" x14ac:dyDescent="0.35">
      <c r="B33" s="28" t="s">
        <v>77</v>
      </c>
      <c r="C33" s="28" t="s">
        <v>78</v>
      </c>
    </row>
  </sheetData>
  <mergeCells count="11">
    <mergeCell ref="L3:U3"/>
    <mergeCell ref="E6:E19"/>
    <mergeCell ref="M6:M19"/>
    <mergeCell ref="B22:L22"/>
    <mergeCell ref="F6:F10"/>
    <mergeCell ref="F17:F18"/>
    <mergeCell ref="G6:G10"/>
    <mergeCell ref="G17:G18"/>
    <mergeCell ref="J17:J18"/>
    <mergeCell ref="F14:F16"/>
    <mergeCell ref="G14:G16"/>
  </mergeCells>
  <phoneticPr fontId="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0883-FD90-447A-BA7F-A285743E6720}">
  <dimension ref="B2:O22"/>
  <sheetViews>
    <sheetView showGridLines="0" tabSelected="1" zoomScale="80" zoomScaleNormal="80" workbookViewId="0">
      <selection activeCell="J2" sqref="J2"/>
    </sheetView>
  </sheetViews>
  <sheetFormatPr defaultColWidth="9" defaultRowHeight="14.5" x14ac:dyDescent="0.35"/>
  <cols>
    <col min="1" max="1" width="9" style="1"/>
    <col min="2" max="2" width="15.453125" style="1" customWidth="1"/>
    <col min="3" max="3" width="21" style="1" customWidth="1"/>
    <col min="4" max="4" width="19.54296875" style="1" customWidth="1"/>
    <col min="5" max="6" width="11.54296875" style="1" customWidth="1"/>
    <col min="7" max="7" width="31" style="1" bestFit="1" customWidth="1"/>
    <col min="8" max="8" width="57.81640625" style="1" bestFit="1" customWidth="1"/>
    <col min="9" max="9" width="24.453125" style="1" bestFit="1" customWidth="1"/>
    <col min="10" max="10" width="24.54296875" style="1" customWidth="1"/>
    <col min="11" max="11" width="14.7265625" style="1" customWidth="1"/>
    <col min="12" max="12" width="16.54296875" style="1" customWidth="1"/>
    <col min="13" max="13" width="24.54296875" style="1" customWidth="1"/>
    <col min="14" max="16384" width="9" style="1"/>
  </cols>
  <sheetData>
    <row r="2" spans="2:15" ht="55.15" customHeight="1" x14ac:dyDescent="0.35">
      <c r="B2"/>
      <c r="F2"/>
      <c r="G2"/>
      <c r="H2"/>
      <c r="I2"/>
      <c r="J2"/>
    </row>
    <row r="3" spans="2:15" ht="39.75" customHeight="1" x14ac:dyDescent="0.45">
      <c r="B3"/>
      <c r="H3"/>
      <c r="J3" s="41"/>
      <c r="K3" s="41"/>
      <c r="L3" s="41"/>
    </row>
    <row r="4" spans="2:15" s="2" customFormat="1" ht="77.25" customHeight="1" x14ac:dyDescent="0.35">
      <c r="B4" s="30" t="s">
        <v>1</v>
      </c>
      <c r="C4" s="30" t="s">
        <v>2</v>
      </c>
      <c r="D4" s="30" t="s">
        <v>79</v>
      </c>
      <c r="E4" s="30" t="s">
        <v>4</v>
      </c>
      <c r="F4" s="30" t="s">
        <v>80</v>
      </c>
      <c r="G4" s="30" t="s">
        <v>81</v>
      </c>
      <c r="H4" s="30" t="s">
        <v>82</v>
      </c>
      <c r="I4" s="30" t="s">
        <v>10</v>
      </c>
      <c r="J4" s="30" t="s">
        <v>83</v>
      </c>
      <c r="K4" s="31" t="s">
        <v>84</v>
      </c>
      <c r="L4" s="30" t="s">
        <v>13</v>
      </c>
      <c r="M4" s="30" t="s">
        <v>85</v>
      </c>
    </row>
    <row r="5" spans="2:15" s="2" customFormat="1" ht="24" customHeight="1" x14ac:dyDescent="0.35">
      <c r="B5" s="103" t="s">
        <v>132</v>
      </c>
      <c r="C5" s="49"/>
      <c r="D5" s="49"/>
      <c r="E5" s="49"/>
      <c r="F5" s="49"/>
      <c r="G5" s="49"/>
      <c r="H5" s="50"/>
      <c r="I5" s="48"/>
      <c r="J5" s="49"/>
      <c r="K5" s="50"/>
      <c r="L5" s="36" t="s">
        <v>87</v>
      </c>
      <c r="M5" s="38" t="s">
        <v>88</v>
      </c>
    </row>
    <row r="6" spans="2:15" ht="28" customHeight="1" x14ac:dyDescent="0.35">
      <c r="B6" s="70" t="s">
        <v>89</v>
      </c>
      <c r="C6" s="70" t="s">
        <v>86</v>
      </c>
      <c r="D6" s="70" t="s">
        <v>90</v>
      </c>
      <c r="E6" s="70" t="s">
        <v>91</v>
      </c>
      <c r="F6" s="70" t="s">
        <v>131</v>
      </c>
      <c r="G6" s="70" t="s">
        <v>92</v>
      </c>
      <c r="H6" s="70" t="s">
        <v>124</v>
      </c>
      <c r="I6" s="70" t="s">
        <v>94</v>
      </c>
      <c r="J6" s="70" t="s">
        <v>95</v>
      </c>
      <c r="K6" s="73">
        <v>0.03</v>
      </c>
      <c r="L6" s="57">
        <v>1800000</v>
      </c>
      <c r="M6" s="60">
        <v>18000</v>
      </c>
      <c r="O6" s="63"/>
    </row>
    <row r="7" spans="2:15" ht="28" customHeight="1" x14ac:dyDescent="0.35">
      <c r="B7" s="71"/>
      <c r="C7" s="71"/>
      <c r="D7" s="71"/>
      <c r="E7" s="71"/>
      <c r="F7" s="71"/>
      <c r="G7" s="71"/>
      <c r="H7" s="71"/>
      <c r="I7" s="71"/>
      <c r="J7" s="71"/>
      <c r="K7" s="74"/>
      <c r="L7" s="58"/>
      <c r="M7" s="61"/>
      <c r="O7" s="63"/>
    </row>
    <row r="8" spans="2:15" ht="28" customHeight="1" x14ac:dyDescent="0.35">
      <c r="B8" s="72"/>
      <c r="C8" s="72"/>
      <c r="D8" s="72"/>
      <c r="E8" s="72"/>
      <c r="F8" s="72"/>
      <c r="G8" s="72"/>
      <c r="H8" s="72"/>
      <c r="I8" s="72"/>
      <c r="J8" s="72"/>
      <c r="K8" s="75"/>
      <c r="L8" s="59"/>
      <c r="M8" s="62"/>
      <c r="O8" s="63"/>
    </row>
    <row r="9" spans="2:15" ht="28" customHeight="1" x14ac:dyDescent="0.35">
      <c r="B9" s="70" t="s">
        <v>89</v>
      </c>
      <c r="C9" s="70" t="s">
        <v>86</v>
      </c>
      <c r="D9" s="70" t="s">
        <v>90</v>
      </c>
      <c r="E9" s="70" t="s">
        <v>91</v>
      </c>
      <c r="F9" s="70" t="s">
        <v>131</v>
      </c>
      <c r="G9" s="70" t="s">
        <v>128</v>
      </c>
      <c r="H9" s="70" t="s">
        <v>129</v>
      </c>
      <c r="I9" s="70" t="s">
        <v>94</v>
      </c>
      <c r="J9" s="70" t="s">
        <v>95</v>
      </c>
      <c r="K9" s="73">
        <v>0.03</v>
      </c>
      <c r="L9" s="57">
        <v>100000</v>
      </c>
      <c r="M9" s="60">
        <v>2000</v>
      </c>
      <c r="O9" s="63"/>
    </row>
    <row r="10" spans="2:15" ht="28" customHeight="1" x14ac:dyDescent="0.35">
      <c r="B10" s="71"/>
      <c r="C10" s="71"/>
      <c r="D10" s="71"/>
      <c r="E10" s="71"/>
      <c r="F10" s="71"/>
      <c r="G10" s="71"/>
      <c r="H10" s="71"/>
      <c r="I10" s="71"/>
      <c r="J10" s="71"/>
      <c r="K10" s="74"/>
      <c r="L10" s="58"/>
      <c r="M10" s="61"/>
      <c r="O10" s="63"/>
    </row>
    <row r="11" spans="2:15" ht="28" customHeight="1" x14ac:dyDescent="0.35">
      <c r="B11" s="72"/>
      <c r="C11" s="72"/>
      <c r="D11" s="72"/>
      <c r="E11" s="72"/>
      <c r="F11" s="72"/>
      <c r="G11" s="72"/>
      <c r="H11" s="72"/>
      <c r="I11" s="72"/>
      <c r="J11" s="72"/>
      <c r="K11" s="75"/>
      <c r="L11" s="59"/>
      <c r="M11" s="62"/>
      <c r="O11" s="63"/>
    </row>
    <row r="12" spans="2:15" s="2" customFormat="1" ht="24" customHeight="1" x14ac:dyDescent="0.35">
      <c r="B12" s="67" t="s">
        <v>96</v>
      </c>
      <c r="C12" s="68"/>
      <c r="D12" s="68"/>
      <c r="E12" s="68"/>
      <c r="F12" s="68"/>
      <c r="G12" s="68"/>
      <c r="H12" s="69"/>
      <c r="I12" s="32"/>
      <c r="J12" s="32"/>
      <c r="K12" s="37"/>
      <c r="L12" s="36" t="s">
        <v>87</v>
      </c>
      <c r="M12" s="38" t="s">
        <v>88</v>
      </c>
    </row>
    <row r="13" spans="2:15" ht="53.5" customHeight="1" x14ac:dyDescent="0.35">
      <c r="B13" s="51" t="s">
        <v>89</v>
      </c>
      <c r="C13" s="51" t="s">
        <v>96</v>
      </c>
      <c r="D13" s="51" t="s">
        <v>96</v>
      </c>
      <c r="E13" s="64" t="s">
        <v>121</v>
      </c>
      <c r="F13" s="65"/>
      <c r="G13" s="66"/>
      <c r="H13" s="64" t="s">
        <v>122</v>
      </c>
      <c r="I13" s="65"/>
      <c r="J13" s="65"/>
      <c r="K13" s="65"/>
      <c r="L13" s="66"/>
      <c r="M13" s="52" t="s">
        <v>96</v>
      </c>
      <c r="O13" s="35"/>
    </row>
    <row r="14" spans="2:15" ht="28" customHeight="1" x14ac:dyDescent="0.35">
      <c r="B14" s="70" t="s">
        <v>89</v>
      </c>
      <c r="C14" s="70" t="s">
        <v>96</v>
      </c>
      <c r="D14" s="70" t="s">
        <v>96</v>
      </c>
      <c r="E14" s="78" t="s">
        <v>123</v>
      </c>
      <c r="F14" s="79"/>
      <c r="G14" s="80"/>
      <c r="H14" s="78" t="s">
        <v>97</v>
      </c>
      <c r="I14" s="79"/>
      <c r="J14" s="79"/>
      <c r="K14" s="79"/>
      <c r="L14" s="80"/>
      <c r="M14" s="60" t="s">
        <v>96</v>
      </c>
    </row>
    <row r="15" spans="2:15" ht="28" customHeight="1" x14ac:dyDescent="0.35">
      <c r="B15" s="71"/>
      <c r="C15" s="71"/>
      <c r="D15" s="71"/>
      <c r="E15" s="81"/>
      <c r="F15" s="82"/>
      <c r="G15" s="83"/>
      <c r="H15" s="81"/>
      <c r="I15" s="82"/>
      <c r="J15" s="82"/>
      <c r="K15" s="82"/>
      <c r="L15" s="83"/>
      <c r="M15" s="61"/>
    </row>
    <row r="16" spans="2:15" ht="28" customHeight="1" x14ac:dyDescent="0.35">
      <c r="B16" s="71"/>
      <c r="C16" s="71"/>
      <c r="D16" s="71"/>
      <c r="E16" s="84"/>
      <c r="F16" s="85"/>
      <c r="G16" s="86"/>
      <c r="H16" s="84"/>
      <c r="I16" s="85"/>
      <c r="J16" s="85"/>
      <c r="K16" s="85"/>
      <c r="L16" s="86"/>
      <c r="M16" s="62"/>
    </row>
    <row r="17" spans="2:13" ht="5.25" customHeight="1" x14ac:dyDescent="0.35"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9" t="e">
        <f>SUM(#REF!)</f>
        <v>#REF!</v>
      </c>
    </row>
    <row r="18" spans="2:13" s="2" customFormat="1" x14ac:dyDescent="0.35">
      <c r="B18" s="30" t="s">
        <v>64</v>
      </c>
      <c r="C18" s="76"/>
      <c r="D18" s="76"/>
      <c r="E18" s="76"/>
      <c r="F18" s="76"/>
      <c r="G18" s="76"/>
      <c r="H18" s="76"/>
      <c r="I18" s="76"/>
      <c r="J18" s="76"/>
      <c r="K18" s="76"/>
      <c r="L18" s="77"/>
      <c r="M18" s="40">
        <f>SUM(M6:M11)</f>
        <v>20000</v>
      </c>
    </row>
    <row r="20" spans="2:13" ht="29" x14ac:dyDescent="0.35">
      <c r="M20" s="1" t="s">
        <v>98</v>
      </c>
    </row>
    <row r="22" spans="2:13" x14ac:dyDescent="0.35">
      <c r="M22" s="43" t="s">
        <v>99</v>
      </c>
    </row>
  </sheetData>
  <mergeCells count="36">
    <mergeCell ref="C18:L18"/>
    <mergeCell ref="H14:L16"/>
    <mergeCell ref="M14:M16"/>
    <mergeCell ref="B14:B16"/>
    <mergeCell ref="C14:C16"/>
    <mergeCell ref="D14:D16"/>
    <mergeCell ref="E14:G16"/>
    <mergeCell ref="O6:O8"/>
    <mergeCell ref="I6:I8"/>
    <mergeCell ref="B6:B8"/>
    <mergeCell ref="C6:C8"/>
    <mergeCell ref="D6:D8"/>
    <mergeCell ref="E6:E8"/>
    <mergeCell ref="F6:F8"/>
    <mergeCell ref="G6:G8"/>
    <mergeCell ref="H6:H8"/>
    <mergeCell ref="M6:M8"/>
    <mergeCell ref="J6:J8"/>
    <mergeCell ref="K6:K8"/>
    <mergeCell ref="L6:L8"/>
    <mergeCell ref="L9:L11"/>
    <mergeCell ref="M9:M11"/>
    <mergeCell ref="O9:O11"/>
    <mergeCell ref="E13:G13"/>
    <mergeCell ref="H13:L13"/>
    <mergeCell ref="B12:H12"/>
    <mergeCell ref="G9:G11"/>
    <mergeCell ref="H9:H11"/>
    <mergeCell ref="I9:I11"/>
    <mergeCell ref="J9:J11"/>
    <mergeCell ref="K9:K11"/>
    <mergeCell ref="B9:B11"/>
    <mergeCell ref="C9:C11"/>
    <mergeCell ref="D9:D11"/>
    <mergeCell ref="E9:E11"/>
    <mergeCell ref="F9:F1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1C7A-2624-44DC-9D5C-687145D0DC26}">
  <dimension ref="B1:F17"/>
  <sheetViews>
    <sheetView workbookViewId="0">
      <selection activeCell="D16" sqref="D16:D17"/>
    </sheetView>
  </sheetViews>
  <sheetFormatPr defaultColWidth="8.7265625" defaultRowHeight="14.5" x14ac:dyDescent="0.35"/>
  <cols>
    <col min="1" max="1" width="8.7265625" style="42"/>
    <col min="2" max="2" width="31" style="42" bestFit="1" customWidth="1"/>
    <col min="3" max="3" width="46.54296875" style="44" customWidth="1"/>
    <col min="4" max="4" width="34.7265625" style="42" customWidth="1"/>
    <col min="5" max="5" width="37.54296875" style="42" bestFit="1" customWidth="1"/>
    <col min="6" max="6" width="27.81640625" style="42" customWidth="1"/>
    <col min="7" max="16384" width="8.7265625" style="42"/>
  </cols>
  <sheetData>
    <row r="1" spans="2:6" ht="15" thickBot="1" x14ac:dyDescent="0.4"/>
    <row r="2" spans="2:6" ht="37" customHeight="1" thickBot="1" x14ac:dyDescent="0.4">
      <c r="B2" s="53" t="s">
        <v>100</v>
      </c>
      <c r="C2" s="54" t="s">
        <v>101</v>
      </c>
      <c r="D2" s="54" t="s">
        <v>102</v>
      </c>
      <c r="E2" s="54" t="s">
        <v>103</v>
      </c>
      <c r="F2" s="45" t="s">
        <v>104</v>
      </c>
    </row>
    <row r="3" spans="2:6" ht="14.5" customHeight="1" x14ac:dyDescent="0.35">
      <c r="B3" s="98" t="s">
        <v>105</v>
      </c>
      <c r="C3" s="96" t="s">
        <v>106</v>
      </c>
      <c r="D3" s="96" t="s">
        <v>93</v>
      </c>
      <c r="E3" s="33" t="s">
        <v>107</v>
      </c>
      <c r="F3" s="46">
        <v>3.86</v>
      </c>
    </row>
    <row r="4" spans="2:6" x14ac:dyDescent="0.35">
      <c r="B4" s="98"/>
      <c r="C4" s="96"/>
      <c r="D4" s="96"/>
      <c r="E4" s="33" t="s">
        <v>108</v>
      </c>
      <c r="F4" s="46">
        <v>4.66</v>
      </c>
    </row>
    <row r="5" spans="2:6" x14ac:dyDescent="0.35">
      <c r="B5" s="98"/>
      <c r="C5" s="96"/>
      <c r="D5" s="96"/>
      <c r="E5" s="33" t="s">
        <v>109</v>
      </c>
      <c r="F5" s="46">
        <v>4.6500000000000004</v>
      </c>
    </row>
    <row r="6" spans="2:6" x14ac:dyDescent="0.35">
      <c r="B6" s="98"/>
      <c r="C6" s="96"/>
      <c r="D6" s="96"/>
      <c r="E6" s="33" t="s">
        <v>110</v>
      </c>
      <c r="F6" s="46">
        <v>1.91</v>
      </c>
    </row>
    <row r="7" spans="2:6" x14ac:dyDescent="0.35">
      <c r="B7" s="98"/>
      <c r="C7" s="96"/>
      <c r="D7" s="96"/>
      <c r="E7" s="33" t="s">
        <v>111</v>
      </c>
      <c r="F7" s="46">
        <v>6.88</v>
      </c>
    </row>
    <row r="8" spans="2:6" x14ac:dyDescent="0.35">
      <c r="B8" s="98"/>
      <c r="C8" s="96"/>
      <c r="D8" s="96"/>
      <c r="E8" s="33" t="s">
        <v>112</v>
      </c>
      <c r="F8" s="46">
        <v>2.97</v>
      </c>
    </row>
    <row r="9" spans="2:6" x14ac:dyDescent="0.35">
      <c r="B9" s="98"/>
      <c r="C9" s="96"/>
      <c r="D9" s="96"/>
      <c r="E9" s="33" t="s">
        <v>113</v>
      </c>
      <c r="F9" s="46">
        <v>26.34</v>
      </c>
    </row>
    <row r="10" spans="2:6" x14ac:dyDescent="0.35">
      <c r="B10" s="98"/>
      <c r="C10" s="96"/>
      <c r="D10" s="96"/>
      <c r="E10" s="33" t="s">
        <v>114</v>
      </c>
      <c r="F10" s="46">
        <v>5.0199999999999996</v>
      </c>
    </row>
    <row r="11" spans="2:6" x14ac:dyDescent="0.35">
      <c r="B11" s="98"/>
      <c r="C11" s="96"/>
      <c r="D11" s="96"/>
      <c r="E11" s="33" t="s">
        <v>115</v>
      </c>
      <c r="F11" s="46">
        <v>4.5999999999999996</v>
      </c>
    </row>
    <row r="12" spans="2:6" x14ac:dyDescent="0.35">
      <c r="B12" s="98"/>
      <c r="C12" s="96"/>
      <c r="D12" s="96"/>
      <c r="E12" s="33" t="s">
        <v>116</v>
      </c>
      <c r="F12" s="46">
        <v>17.04</v>
      </c>
    </row>
    <row r="13" spans="2:6" x14ac:dyDescent="0.35">
      <c r="B13" s="98"/>
      <c r="C13" s="96"/>
      <c r="D13" s="96"/>
      <c r="E13" s="33" t="s">
        <v>117</v>
      </c>
      <c r="F13" s="46">
        <v>12.79</v>
      </c>
    </row>
    <row r="14" spans="2:6" x14ac:dyDescent="0.35">
      <c r="B14" s="98"/>
      <c r="C14" s="96"/>
      <c r="D14" s="96"/>
      <c r="E14" s="33" t="s">
        <v>118</v>
      </c>
      <c r="F14" s="46">
        <v>19.96</v>
      </c>
    </row>
    <row r="15" spans="2:6" x14ac:dyDescent="0.35">
      <c r="B15" s="98"/>
      <c r="C15" s="96"/>
      <c r="D15" s="96"/>
      <c r="E15" s="33" t="s">
        <v>119</v>
      </c>
      <c r="F15" s="46">
        <v>5.58</v>
      </c>
    </row>
    <row r="16" spans="2:6" ht="27" x14ac:dyDescent="0.35">
      <c r="B16" s="98"/>
      <c r="C16" s="96"/>
      <c r="D16" s="96" t="s">
        <v>125</v>
      </c>
      <c r="E16" s="33" t="s">
        <v>126</v>
      </c>
      <c r="F16" s="46">
        <v>147</v>
      </c>
    </row>
    <row r="17" spans="2:6" ht="15" thickBot="1" x14ac:dyDescent="0.4">
      <c r="B17" s="99"/>
      <c r="C17" s="97"/>
      <c r="D17" s="97"/>
      <c r="E17" s="55" t="s">
        <v>127</v>
      </c>
      <c r="F17" s="56">
        <v>151</v>
      </c>
    </row>
  </sheetData>
  <mergeCells count="4">
    <mergeCell ref="D3:D15"/>
    <mergeCell ref="D16:D17"/>
    <mergeCell ref="B3:B17"/>
    <mergeCell ref="C3:C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1C7D-FF1B-4BBD-B91D-F11757575471}">
  <dimension ref="B1:B15"/>
  <sheetViews>
    <sheetView workbookViewId="0">
      <selection activeCell="B3" sqref="B3:B15"/>
    </sheetView>
  </sheetViews>
  <sheetFormatPr defaultColWidth="8.7265625" defaultRowHeight="14.5" x14ac:dyDescent="0.35"/>
  <cols>
    <col min="1" max="1" width="8.7265625" style="42"/>
    <col min="2" max="2" width="57.1796875" style="42" customWidth="1"/>
    <col min="3" max="16384" width="8.7265625" style="42"/>
  </cols>
  <sheetData>
    <row r="1" spans="2:2" ht="15" thickBot="1" x14ac:dyDescent="0.4"/>
    <row r="2" spans="2:2" ht="37" customHeight="1" thickBot="1" x14ac:dyDescent="0.4">
      <c r="B2" s="47" t="s">
        <v>120</v>
      </c>
    </row>
    <row r="3" spans="2:2" ht="14.5" customHeight="1" x14ac:dyDescent="0.35">
      <c r="B3" s="100" t="s">
        <v>130</v>
      </c>
    </row>
    <row r="4" spans="2:2" x14ac:dyDescent="0.35">
      <c r="B4" s="101"/>
    </row>
    <row r="5" spans="2:2" x14ac:dyDescent="0.35">
      <c r="B5" s="101"/>
    </row>
    <row r="6" spans="2:2" x14ac:dyDescent="0.35">
      <c r="B6" s="101"/>
    </row>
    <row r="7" spans="2:2" x14ac:dyDescent="0.35">
      <c r="B7" s="101"/>
    </row>
    <row r="8" spans="2:2" x14ac:dyDescent="0.35">
      <c r="B8" s="101"/>
    </row>
    <row r="9" spans="2:2" x14ac:dyDescent="0.35">
      <c r="B9" s="101"/>
    </row>
    <row r="10" spans="2:2" x14ac:dyDescent="0.35">
      <c r="B10" s="101"/>
    </row>
    <row r="11" spans="2:2" x14ac:dyDescent="0.35">
      <c r="B11" s="101"/>
    </row>
    <row r="12" spans="2:2" x14ac:dyDescent="0.35">
      <c r="B12" s="101"/>
    </row>
    <row r="13" spans="2:2" x14ac:dyDescent="0.35">
      <c r="B13" s="101"/>
    </row>
    <row r="14" spans="2:2" x14ac:dyDescent="0.35">
      <c r="B14" s="101"/>
    </row>
    <row r="15" spans="2:2" ht="15" thickBot="1" x14ac:dyDescent="0.4">
      <c r="B15" s="102"/>
    </row>
  </sheetData>
  <mergeCells count="1">
    <mergeCell ref="B3:B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FCCDD-E566-4588-A684-8A725165B285}">
  <dimension ref="A1"/>
  <sheetViews>
    <sheetView workbookViewId="0">
      <selection activeCell="B2" sqref="B2"/>
    </sheetView>
  </sheetViews>
  <sheetFormatPr defaultColWidth="8.7265625" defaultRowHeight="14.5" x14ac:dyDescent="0.35"/>
  <cols>
    <col min="1" max="16384" width="8.7265625" style="42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A6C226E1A62B479E2FA116BDB80A6F" ma:contentTypeVersion="2" ma:contentTypeDescription="Create a new document." ma:contentTypeScope="" ma:versionID="eeb3692ff7ade90aeb8f75115096b0cb">
  <xsd:schema xmlns:xsd="http://www.w3.org/2001/XMLSchema" xmlns:xs="http://www.w3.org/2001/XMLSchema" xmlns:p="http://schemas.microsoft.com/office/2006/metadata/properties" xmlns:ns3="4b3e2f68-64a6-47b0-852e-e2c818831d69" targetNamespace="http://schemas.microsoft.com/office/2006/metadata/properties" ma:root="true" ma:fieldsID="2943215ff77bef97cda754a585f996e2" ns3:_="">
    <xsd:import namespace="4b3e2f68-64a6-47b0-852e-e2c818831d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3e2f68-64a6-47b0-852e-e2c818831d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821E2F-6605-4566-9446-119823D5BA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257256-90E8-46E7-A978-3B0A131DAE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3e2f68-64a6-47b0-852e-e2c818831d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A206E2-B41F-4606-A467-9B70ADFA1A88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4b3e2f68-64a6-47b0-852e-e2c818831d69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LendingTree Sample Media Plan </vt:lpstr>
      <vt:lpstr>Monarch Home - Media Plan</vt:lpstr>
      <vt:lpstr>Audience Targeting </vt:lpstr>
      <vt:lpstr>Geo Targeting</vt:lpstr>
      <vt:lpstr>Video - Ad 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Ursula Scheeler</dc:creator>
  <cp:keywords/>
  <dc:description/>
  <cp:lastModifiedBy>Ursula Scheeler</cp:lastModifiedBy>
  <cp:revision/>
  <dcterms:created xsi:type="dcterms:W3CDTF">2021-04-22T00:03:04Z</dcterms:created>
  <dcterms:modified xsi:type="dcterms:W3CDTF">2026-08-26T17:43:20Z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2021-04-22T00:03:05Z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bca98729-33a6-4fb9-bcf0-000087e275b6</vt:lpwstr>
  </property>
  <property fmtid="{D5CDD505-2E9C-101B-9397-08002B2CF9AE}" pid="8" name="MSIP_Label_f42aa342-8706-4288-bd11-ebb85995028c_ContentBits">
    <vt:lpwstr>0</vt:lpwstr>
  </property>
  <property fmtid="{D5CDD505-2E9C-101B-9397-08002B2CF9AE}" pid="9" name="ContentTypeId">
    <vt:lpwstr>0x0101008CA6C226E1A62B479E2FA116BDB80A6F</vt:lpwstr>
  </property>
</Properties>
</file>